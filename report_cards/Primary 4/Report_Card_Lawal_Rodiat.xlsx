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PRIMARY SCHOOL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Lawal Rodiat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10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9" t="inlineStr">
        <is>
          <t>Primary 4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>
        <is>
          <t>4th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10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0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Social Studies</t>
        </is>
      </c>
      <c r="C28" s="35" t="n"/>
      <c r="D28" s="35" t="n"/>
      <c r="E28" s="35" t="n"/>
      <c r="F28" s="36" t="n"/>
      <c r="G28" s="41" t="n">
        <v>14</v>
      </c>
      <c r="H28" s="41" t="n">
        <v>13</v>
      </c>
      <c r="I28" s="36" t="n"/>
      <c r="J28" s="41" t="n">
        <v>41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1" t="inlineStr">
        <is>
          <t>6th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Civic Education</t>
        </is>
      </c>
      <c r="C29" s="35" t="n"/>
      <c r="D29" s="35" t="n"/>
      <c r="E29" s="35" t="n"/>
      <c r="F29" s="36" t="n"/>
      <c r="G29" s="41" t="n">
        <v>17</v>
      </c>
      <c r="H29" s="41" t="n">
        <v>17</v>
      </c>
      <c r="I29" s="36" t="n"/>
      <c r="J29" s="41" t="n">
        <v>51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1" t="inlineStr">
        <is>
          <t>3rd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CRS</t>
        </is>
      </c>
      <c r="C30" s="35" t="n"/>
      <c r="D30" s="35" t="n"/>
      <c r="E30" s="35" t="n"/>
      <c r="F30" s="36" t="n"/>
      <c r="G30" s="41" t="n">
        <v>17</v>
      </c>
      <c r="H30" s="41" t="n">
        <v>18</v>
      </c>
      <c r="I30" s="36" t="n"/>
      <c r="J30" s="41" t="n">
        <v>52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1" t="inlineStr">
        <is>
          <t>5th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Security Education</t>
        </is>
      </c>
      <c r="C31" s="35" t="n"/>
      <c r="D31" s="35" t="n"/>
      <c r="E31" s="35" t="n"/>
      <c r="F31" s="36" t="n"/>
      <c r="G31" s="41" t="n">
        <v>14</v>
      </c>
      <c r="H31" s="41" t="n">
        <v>14</v>
      </c>
      <c r="I31" s="36" t="n"/>
      <c r="J31" s="41" t="n">
        <v>43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1" t="inlineStr">
        <is>
          <t>8th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History</t>
        </is>
      </c>
      <c r="C32" s="35" t="n"/>
      <c r="D32" s="35" t="n"/>
      <c r="E32" s="35" t="n"/>
      <c r="F32" s="36" t="n"/>
      <c r="G32" s="41" t="n">
        <v>18</v>
      </c>
      <c r="H32" s="41" t="n">
        <v>18</v>
      </c>
      <c r="I32" s="36" t="n"/>
      <c r="J32" s="41" t="n">
        <v>54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1" t="inlineStr">
        <is>
          <t>1st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Agricultural Science</t>
        </is>
      </c>
      <c r="C33" s="35" t="n"/>
      <c r="D33" s="35" t="n"/>
      <c r="E33" s="35" t="n"/>
      <c r="F33" s="36" t="n"/>
      <c r="G33" s="41" t="n">
        <v>18</v>
      </c>
      <c r="H33" s="41" t="n">
        <v>17</v>
      </c>
      <c r="I33" s="36" t="n"/>
      <c r="J33" s="41" t="n">
        <v>53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IF(L33&gt;=75,"A1",IF(L33&gt;=70,"B2",IF(L33&gt;=65,"B3",IF(L33&gt;=60,"C4",IF(L33&gt;=55,"C5",IF(L33&gt;=50,"C6",IF(L33&gt;=45,"D7",IF(L33&gt;=40,"E8","F9"))))))))</f>
        <v/>
      </c>
      <c r="O33" s="36" t="n"/>
      <c r="P33" s="41" t="inlineStr">
        <is>
          <t>4th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Home Economics</t>
        </is>
      </c>
      <c r="C34" s="35" t="n"/>
      <c r="D34" s="35" t="n"/>
      <c r="E34" s="35" t="n"/>
      <c r="F34" s="36" t="n"/>
      <c r="G34" s="41" t="n">
        <v>13</v>
      </c>
      <c r="H34" s="41" t="n">
        <v>13</v>
      </c>
      <c r="I34" s="36" t="n"/>
      <c r="J34" s="41" t="n">
        <v>39</v>
      </c>
      <c r="K34" s="36" t="n"/>
      <c r="L34" s="18">
        <f>SUM(G34, H34, J34)</f>
        <v/>
      </c>
      <c r="M34" s="36" t="n"/>
      <c r="N34" s="18">
        <f>IF(L34&gt;=75,"A1",IF(L34&gt;=70,"B2",IF(L34&gt;=65,"B3",IF(L34&gt;=60,"C4",IF(L34&gt;=55,"C5",IF(L34&gt;=50,"C6",IF(L34&gt;=45,"D7",IF(L34&gt;=40,"E8","F9"))))))))</f>
        <v/>
      </c>
      <c r="O34" s="36" t="n"/>
      <c r="P34" s="41" t="inlineStr">
        <is>
          <t>7th</t>
        </is>
      </c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Basic Science</t>
        </is>
      </c>
      <c r="C35" s="35" t="n"/>
      <c r="D35" s="35" t="n"/>
      <c r="E35" s="35" t="n"/>
      <c r="F35" s="36" t="n"/>
      <c r="G35" s="41" t="n">
        <v>14</v>
      </c>
      <c r="H35" s="41" t="n">
        <v>14</v>
      </c>
      <c r="I35" s="36" t="n"/>
      <c r="J35" s="41" t="n">
        <v>43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1" t="inlineStr">
        <is>
          <t>4th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PHE</t>
        </is>
      </c>
      <c r="C36" s="35" t="n"/>
      <c r="D36" s="35" t="n"/>
      <c r="E36" s="35" t="n"/>
      <c r="F36" s="36" t="n"/>
      <c r="G36" s="41" t="n">
        <v>16</v>
      </c>
      <c r="H36" s="41" t="n">
        <v>16</v>
      </c>
      <c r="I36" s="36" t="n"/>
      <c r="J36" s="41" t="n">
        <v>49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1" t="inlineStr">
        <is>
          <t>1st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ICT</t>
        </is>
      </c>
      <c r="C37" s="35" t="n"/>
      <c r="D37" s="35" t="n"/>
      <c r="E37" s="35" t="n"/>
      <c r="F37" s="36" t="n"/>
      <c r="G37" s="41" t="n">
        <v>17</v>
      </c>
      <c r="H37" s="41" t="n">
        <v>18</v>
      </c>
      <c r="I37" s="36" t="n"/>
      <c r="J37" s="41" t="n">
        <v>52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1" t="inlineStr">
        <is>
          <t>2nd</t>
        </is>
      </c>
      <c r="Q37" s="35" t="n"/>
      <c r="R37" s="36" t="n"/>
    </row>
    <row r="38">
      <c r="A38" s="18" t="n">
        <v>11</v>
      </c>
      <c r="B38" s="19" t="inlineStr">
        <is>
          <t>Cultural &amp; Creative Arts</t>
        </is>
      </c>
      <c r="C38" s="35" t="n"/>
      <c r="D38" s="35" t="n"/>
      <c r="E38" s="35" t="n"/>
      <c r="F38" s="36" t="n"/>
      <c r="G38" s="41" t="n">
        <v>18</v>
      </c>
      <c r="H38" s="41" t="n">
        <v>18</v>
      </c>
      <c r="I38" s="36" t="n"/>
      <c r="J38" s="41" t="n">
        <v>54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1" t="inlineStr">
        <is>
          <t>3rd</t>
        </is>
      </c>
      <c r="Q38" s="35" t="n"/>
      <c r="R38" s="36" t="n"/>
      <c r="T38" s="13" t="inlineStr">
        <is>
          <t>Total Marks Obtained</t>
        </is>
      </c>
      <c r="X38" s="42" t="n">
        <v>1362</v>
      </c>
      <c r="Y38" s="30" t="n"/>
      <c r="Z38" s="30" t="n"/>
    </row>
    <row r="39">
      <c r="A39" s="18" t="n">
        <v>12</v>
      </c>
      <c r="B39" s="19" t="inlineStr">
        <is>
          <t>Mathematics</t>
        </is>
      </c>
      <c r="C39" s="35" t="n"/>
      <c r="D39" s="35" t="n"/>
      <c r="E39" s="35" t="n"/>
      <c r="F39" s="36" t="n"/>
      <c r="G39" s="41" t="n">
        <v>16</v>
      </c>
      <c r="H39" s="41" t="n">
        <v>16</v>
      </c>
      <c r="I39" s="36" t="n"/>
      <c r="J39" s="41" t="n">
        <v>47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1" t="inlineStr">
        <is>
          <t>1st</t>
        </is>
      </c>
      <c r="Q39" s="35" t="n"/>
      <c r="R39" s="36" t="n"/>
      <c r="T39" s="13" t="inlineStr">
        <is>
          <t>Average Score</t>
        </is>
      </c>
      <c r="X39" s="42" t="n">
        <v>85.09999999999999</v>
      </c>
      <c r="Y39" s="30" t="n"/>
      <c r="Z39" s="30" t="n"/>
    </row>
    <row r="40">
      <c r="A40" s="18" t="n">
        <v>13</v>
      </c>
      <c r="B40" s="19" t="inlineStr">
        <is>
          <t>English Language</t>
        </is>
      </c>
      <c r="C40" s="35" t="n"/>
      <c r="D40" s="35" t="n"/>
      <c r="E40" s="35" t="n"/>
      <c r="F40" s="36" t="n"/>
      <c r="G40" s="41" t="n">
        <v>20</v>
      </c>
      <c r="H40" s="41" t="n">
        <v>20</v>
      </c>
      <c r="I40" s="36" t="n"/>
      <c r="J40" s="41" t="n">
        <v>60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IF(L40&gt;=75,"A1",IF(L40&gt;=70,"B2",IF(L40&gt;=65,"B3",IF(L40&gt;=60,"C4",IF(L40&gt;=55,"C5",IF(L40&gt;=50,"C6",IF(L40&gt;=45,"D7",IF(L40&gt;=40,"E8","F9"))))))))</f>
        <v/>
      </c>
      <c r="O40" s="36" t="n"/>
      <c r="P40" s="41" t="inlineStr">
        <is>
          <t>1st</t>
        </is>
      </c>
      <c r="Q40" s="35" t="n"/>
      <c r="R40" s="36" t="n"/>
      <c r="T40" s="13" t="inlineStr">
        <is>
          <t>Percentage (%)</t>
        </is>
      </c>
      <c r="X40" s="42" t="inlineStr">
        <is>
          <t>85.12%</t>
        </is>
      </c>
      <c r="Y40" s="30" t="n"/>
      <c r="Z40" s="30" t="n"/>
    </row>
    <row r="41">
      <c r="A41" s="18" t="n">
        <v>14</v>
      </c>
      <c r="B41" s="19" t="inlineStr">
        <is>
          <t>Verbal Reasoning</t>
        </is>
      </c>
      <c r="C41" s="35" t="n"/>
      <c r="D41" s="35" t="n"/>
      <c r="E41" s="35" t="n"/>
      <c r="F41" s="36" t="n"/>
      <c r="G41" s="41" t="n">
        <v>20</v>
      </c>
      <c r="H41" s="41" t="n">
        <v>20</v>
      </c>
      <c r="I41" s="36" t="n"/>
      <c r="J41" s="41" t="n">
        <v>60</v>
      </c>
      <c r="K41" s="36" t="n"/>
      <c r="L41" s="18">
        <f>SUM(G41, H41, J41)</f>
        <v/>
      </c>
      <c r="M41" s="36" t="n"/>
      <c r="N41" s="18">
        <f>IF(L41&gt;=75,"A1",IF(L41&gt;=70,"B2",IF(L41&gt;=65,"B3",IF(L41&gt;=60,"C4",IF(L41&gt;=55,"C5",IF(L41&gt;=50,"C6",IF(L41&gt;=45,"D7",IF(L41&gt;=40,"E8","F9"))))))))</f>
        <v/>
      </c>
      <c r="O41" s="36" t="n"/>
      <c r="P41" s="41" t="inlineStr">
        <is>
          <t>1st</t>
        </is>
      </c>
      <c r="Q41" s="35" t="n"/>
      <c r="R41" s="36" t="n"/>
      <c r="T41" s="13" t="inlineStr">
        <is>
          <t>Overall Grade</t>
        </is>
      </c>
      <c r="X41" s="42" t="inlineStr">
        <is>
          <t>A1</t>
        </is>
      </c>
      <c r="Y41" s="30" t="n"/>
      <c r="Z41" s="30" t="n"/>
    </row>
    <row r="42">
      <c r="A42" s="18" t="n">
        <v>15</v>
      </c>
      <c r="B42" s="19" t="inlineStr">
        <is>
          <t>Quantitative Reasoning</t>
        </is>
      </c>
      <c r="C42" s="35" t="n"/>
      <c r="D42" s="35" t="n"/>
      <c r="E42" s="35" t="n"/>
      <c r="F42" s="36" t="n"/>
      <c r="G42" s="41" t="n">
        <v>20</v>
      </c>
      <c r="H42" s="41" t="n">
        <v>20</v>
      </c>
      <c r="I42" s="36" t="n"/>
      <c r="J42" s="41" t="n">
        <v>60</v>
      </c>
      <c r="K42" s="36" t="n"/>
      <c r="L42" s="18">
        <f>SUM(G42, H42, J42)</f>
        <v/>
      </c>
      <c r="M42" s="36" t="n"/>
      <c r="N42" s="18">
        <f>IF(L42&gt;=75,"A1",IF(L42&gt;=70,"B2",IF(L42&gt;=65,"B3",IF(L42&gt;=60,"C4",IF(L42&gt;=55,"C5",IF(L42&gt;=50,"C6",IF(L42&gt;=45,"D7",IF(L42&gt;=40,"E8","F9"))))))))</f>
        <v/>
      </c>
      <c r="O42" s="36" t="n"/>
      <c r="P42" s="41" t="inlineStr">
        <is>
          <t>1st</t>
        </is>
      </c>
      <c r="Q42" s="35" t="n"/>
      <c r="R42" s="36" t="n"/>
      <c r="T42" s="13" t="inlineStr">
        <is>
          <t>Position in Class</t>
        </is>
      </c>
      <c r="X42" s="42" t="inlineStr">
        <is>
          <t>4th</t>
        </is>
      </c>
      <c r="Y42" s="30" t="n"/>
      <c r="Z42" s="30" t="n"/>
    </row>
    <row r="43">
      <c r="A43" s="18" t="n">
        <v>16</v>
      </c>
      <c r="B43" s="19" t="inlineStr">
        <is>
          <t>Vocational Studies</t>
        </is>
      </c>
      <c r="C43" s="35" t="n"/>
      <c r="D43" s="35" t="n"/>
      <c r="E43" s="35" t="n"/>
      <c r="F43" s="36" t="n"/>
      <c r="G43" s="41" t="n">
        <v>20</v>
      </c>
      <c r="H43" s="41" t="n">
        <v>20</v>
      </c>
      <c r="I43" s="36" t="n"/>
      <c r="J43" s="41" t="n">
        <v>60</v>
      </c>
      <c r="K43" s="36" t="n"/>
      <c r="L43" s="18">
        <f>SUM(G43, H43, J43)</f>
        <v/>
      </c>
      <c r="M43" s="36" t="n"/>
      <c r="N43" s="18">
        <f>IF(L43&gt;=75,"A1",IF(L43&gt;=70,"B2",IF(L43&gt;=65,"B3",IF(L43&gt;=60,"C4",IF(L43&gt;=55,"C5",IF(L43&gt;=50,"C6",IF(L43&gt;=45,"D7",IF(L43&gt;=40,"E8","F9"))))))))</f>
        <v/>
      </c>
      <c r="O43" s="36" t="n"/>
      <c r="P43" s="41" t="inlineStr">
        <is>
          <t>1st</t>
        </is>
      </c>
      <c r="Q43" s="35" t="n"/>
      <c r="R43" s="36" t="n"/>
      <c r="T43" s="13" t="inlineStr">
        <is>
          <t>Total Number in Class</t>
        </is>
      </c>
      <c r="X43" s="42" t="n">
        <v>10</v>
      </c>
      <c r="Y43" s="30" t="n"/>
      <c r="Z43" s="30" t="n"/>
    </row>
    <row r="44">
      <c r="A44" s="20" t="inlineStr">
        <is>
          <t>TOTAL MARKS</t>
        </is>
      </c>
      <c r="B44" s="35" t="n"/>
      <c r="C44" s="35" t="n"/>
      <c r="D44" s="35" t="n"/>
      <c r="E44" s="35" t="n"/>
      <c r="F44" s="36" t="n"/>
      <c r="G44" s="43" t="n">
        <v>1362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2" t="n">
        <v>16</v>
      </c>
      <c r="Y44" s="30" t="n"/>
      <c r="Z44" s="30" t="n"/>
    </row>
    <row r="45">
      <c r="A45" s="20" t="inlineStr">
        <is>
          <t>AVERAGE SCORE</t>
        </is>
      </c>
      <c r="B45" s="35" t="n"/>
      <c r="C45" s="35" t="n"/>
      <c r="D45" s="35" t="n"/>
      <c r="E45" s="35" t="n"/>
      <c r="F45" s="36" t="n"/>
      <c r="G45" s="43" t="n">
        <v>85.09999999999999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2" t="n">
        <v>4</v>
      </c>
      <c r="Y45" s="30" t="n"/>
      <c r="Z45" s="30" t="n"/>
    </row>
    <row r="46">
      <c r="A46" s="20" t="inlineStr">
        <is>
          <t>PERCENTAGE (%)</t>
        </is>
      </c>
      <c r="B46" s="35" t="n"/>
      <c r="C46" s="35" t="n"/>
      <c r="D46" s="35" t="n"/>
      <c r="E46" s="35" t="n"/>
      <c r="F46" s="36" t="n"/>
      <c r="G46" s="43" t="inlineStr">
        <is>
          <t>85.12%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OVERALL GRADE</t>
        </is>
      </c>
      <c r="B47" s="35" t="n"/>
      <c r="C47" s="35" t="n"/>
      <c r="D47" s="35" t="n"/>
      <c r="E47" s="35" t="n"/>
      <c r="F47" s="36" t="n"/>
      <c r="G47" s="43" t="inlineStr">
        <is>
          <t>A1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POSITION IN CLASS</t>
        </is>
      </c>
      <c r="B48" s="35" t="n"/>
      <c r="C48" s="35" t="n"/>
      <c r="D48" s="35" t="n"/>
      <c r="E48" s="35" t="n"/>
      <c r="F48" s="36" t="n"/>
      <c r="G48" s="43" t="inlineStr">
        <is>
          <t>4th</t>
        </is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NUMBER IN CLASS</t>
        </is>
      </c>
      <c r="B49" s="35" t="n"/>
      <c r="C49" s="35" t="n"/>
      <c r="D49" s="35" t="n"/>
      <c r="E49" s="35" t="n"/>
      <c r="F49" s="36" t="n"/>
      <c r="G49" s="43" t="n">
        <v>10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CREDIT COUNT</t>
        </is>
      </c>
      <c r="B50" s="35" t="n"/>
      <c r="C50" s="35" t="n"/>
      <c r="D50" s="35" t="n"/>
      <c r="E50" s="35" t="n"/>
      <c r="F50" s="36" t="n"/>
      <c r="G50" s="43" t="n">
        <v>16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GPA (4.0 SCALE)</t>
        </is>
      </c>
      <c r="B51" s="35" t="n"/>
      <c r="C51" s="35" t="n"/>
      <c r="D51" s="35" t="n"/>
      <c r="E51" s="35" t="n"/>
      <c r="F51" s="36" t="n"/>
      <c r="G51" s="43" t="n">
        <v>4</v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4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Primary 5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60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A51:F51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G51:R51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H43:I43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G45:R45"/>
    <mergeCell ref="W34:Z34"/>
    <mergeCell ref="N33:O33"/>
    <mergeCell ref="P43:R43"/>
    <mergeCell ref="X18:Y18"/>
    <mergeCell ref="W25:Z25"/>
    <mergeCell ref="T38:W38"/>
    <mergeCell ref="P67:Q67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2026-07-29T23:47:06Z</dcterms:created>
  <dcterms:modified xsi:type="dcterms:W3CDTF">2026-07-30T13:26:31Z</dcterms:modified>
</cp:coreProperties>
</file>